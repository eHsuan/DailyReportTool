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 codeName="ThisWorkbook"/>
  <xr:revisionPtr revIDLastSave="0" documentId="13_ncr:1_{018BCF6D-AA1D-4420-853D-9E3AECE2943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IE主表" sheetId="2" r:id="rId1"/>
  </sheets>
  <definedNames>
    <definedName name="Hash_02_產品需求及設備稼動率計算" hidden="1">"$A$1:$Q$43_731_508"</definedName>
    <definedName name="Hash_03_目標片次與設備能力" hidden="1">"$A$1:$BA$42_2226_294"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C11" i="2" s="1"/>
  <c r="B10" i="2"/>
  <c r="B11" i="2" s="1"/>
  <c r="H26" i="2" l="1"/>
  <c r="H33" i="2"/>
  <c r="H25" i="2"/>
  <c r="H22" i="2"/>
  <c r="H21" i="2"/>
  <c r="H18" i="2"/>
  <c r="H17" i="2"/>
  <c r="H38" i="2"/>
  <c r="J38" i="2" s="1"/>
  <c r="H37" i="2"/>
  <c r="J37" i="2" s="1"/>
  <c r="H34" i="2"/>
  <c r="H30" i="2"/>
  <c r="H29" i="2"/>
  <c r="D37" i="2"/>
  <c r="K37" i="2" s="1"/>
  <c r="D33" i="2"/>
  <c r="D22" i="2"/>
  <c r="D25" i="2"/>
  <c r="D30" i="2"/>
  <c r="D40" i="2"/>
  <c r="K40" i="2" s="1"/>
  <c r="D36" i="2"/>
  <c r="D32" i="2"/>
  <c r="D28" i="2"/>
  <c r="D24" i="2"/>
  <c r="D20" i="2"/>
  <c r="D16" i="2"/>
  <c r="D34" i="2"/>
  <c r="D26" i="2"/>
  <c r="D17" i="2"/>
  <c r="D38" i="2"/>
  <c r="K38" i="2" s="1"/>
  <c r="L38" i="2" s="1"/>
  <c r="M38" i="2" s="1"/>
  <c r="D18" i="2"/>
  <c r="D39" i="2"/>
  <c r="D35" i="2"/>
  <c r="D31" i="2"/>
  <c r="D27" i="2"/>
  <c r="D23" i="2"/>
  <c r="D19" i="2"/>
  <c r="D15" i="2"/>
  <c r="D29" i="2"/>
  <c r="D21" i="2"/>
  <c r="H15" i="2"/>
  <c r="H19" i="2"/>
  <c r="H23" i="2"/>
  <c r="H27" i="2"/>
  <c r="H31" i="2"/>
  <c r="H35" i="2"/>
  <c r="H39" i="2"/>
  <c r="J39" i="2" s="1"/>
  <c r="H16" i="2"/>
  <c r="H20" i="2"/>
  <c r="H24" i="2"/>
  <c r="H28" i="2"/>
  <c r="H32" i="2"/>
  <c r="H36" i="2"/>
  <c r="J36" i="2" s="1"/>
  <c r="H40" i="2"/>
  <c r="J40" i="2" s="1"/>
  <c r="L37" i="2" l="1"/>
  <c r="M37" i="2" s="1"/>
  <c r="K39" i="2"/>
  <c r="P37" i="2"/>
  <c r="Q37" i="2" s="1"/>
  <c r="O37" i="2"/>
  <c r="K28" i="2"/>
  <c r="J28" i="2"/>
  <c r="L28" i="2" s="1"/>
  <c r="M28" i="2" s="1"/>
  <c r="K32" i="2"/>
  <c r="J32" i="2"/>
  <c r="L32" i="2" s="1"/>
  <c r="M32" i="2" s="1"/>
  <c r="P38" i="2"/>
  <c r="O38" i="2"/>
  <c r="Q38" i="2"/>
  <c r="K18" i="2"/>
  <c r="J18" i="2"/>
  <c r="K36" i="2"/>
  <c r="L36" i="2" s="1"/>
  <c r="M36" i="2" s="1"/>
  <c r="K21" i="2"/>
  <c r="J21" i="2"/>
  <c r="L21" i="2" s="1"/>
  <c r="M21" i="2" s="1"/>
  <c r="J17" i="2"/>
  <c r="K17" i="2"/>
  <c r="K30" i="2"/>
  <c r="J30" i="2"/>
  <c r="L30" i="2" s="1"/>
  <c r="M30" i="2" s="1"/>
  <c r="L39" i="2"/>
  <c r="M39" i="2" s="1"/>
  <c r="J19" i="2"/>
  <c r="L19" i="2" s="1"/>
  <c r="M19" i="2" s="1"/>
  <c r="K19" i="2"/>
  <c r="K26" i="2"/>
  <c r="J26" i="2"/>
  <c r="L26" i="2" s="1"/>
  <c r="M26" i="2" s="1"/>
  <c r="K25" i="2"/>
  <c r="J25" i="2"/>
  <c r="J29" i="2"/>
  <c r="K29" i="2"/>
  <c r="K23" i="2"/>
  <c r="J23" i="2"/>
  <c r="J34" i="2"/>
  <c r="K34" i="2"/>
  <c r="K22" i="2"/>
  <c r="J22" i="2"/>
  <c r="J27" i="2"/>
  <c r="K27" i="2"/>
  <c r="J16" i="2"/>
  <c r="L16" i="2" s="1"/>
  <c r="M16" i="2" s="1"/>
  <c r="K16" i="2"/>
  <c r="K33" i="2"/>
  <c r="J33" i="2"/>
  <c r="K31" i="2"/>
  <c r="J31" i="2"/>
  <c r="J20" i="2"/>
  <c r="K20" i="2"/>
  <c r="K15" i="2"/>
  <c r="J15" i="2"/>
  <c r="L15" i="2" s="1"/>
  <c r="M15" i="2" s="1"/>
  <c r="L40" i="2"/>
  <c r="M40" i="2" s="1"/>
  <c r="J35" i="2"/>
  <c r="K35" i="2"/>
  <c r="K24" i="2"/>
  <c r="J24" i="2"/>
  <c r="L24" i="2" s="1"/>
  <c r="M24" i="2" s="1"/>
  <c r="L27" i="2" l="1"/>
  <c r="M27" i="2" s="1"/>
  <c r="L18" i="2"/>
  <c r="M18" i="2" s="1"/>
  <c r="L25" i="2"/>
  <c r="M25" i="2" s="1"/>
  <c r="P25" i="2" s="1"/>
  <c r="Q25" i="2" s="1"/>
  <c r="L29" i="2"/>
  <c r="M29" i="2" s="1"/>
  <c r="O29" i="2" s="1"/>
  <c r="O40" i="2"/>
  <c r="P40" i="2"/>
  <c r="Q40" i="2" s="1"/>
  <c r="P26" i="2"/>
  <c r="Q26" i="2" s="1"/>
  <c r="O26" i="2"/>
  <c r="L17" i="2"/>
  <c r="M17" i="2" s="1"/>
  <c r="P32" i="2"/>
  <c r="Q32" i="2" s="1"/>
  <c r="O32" i="2"/>
  <c r="L20" i="2"/>
  <c r="M20" i="2" s="1"/>
  <c r="P21" i="2"/>
  <c r="Q21" i="2" s="1"/>
  <c r="O21" i="2"/>
  <c r="O27" i="2"/>
  <c r="P27" i="2"/>
  <c r="Q27" i="2" s="1"/>
  <c r="L31" i="2"/>
  <c r="M31" i="2" s="1"/>
  <c r="L22" i="2"/>
  <c r="M22" i="2" s="1"/>
  <c r="Q19" i="2"/>
  <c r="O19" i="2"/>
  <c r="P19" i="2"/>
  <c r="O36" i="2"/>
  <c r="P36" i="2"/>
  <c r="Q36" i="2"/>
  <c r="P29" i="2"/>
  <c r="Q29" i="2" s="1"/>
  <c r="P39" i="2"/>
  <c r="Q39" i="2" s="1"/>
  <c r="O39" i="2"/>
  <c r="P28" i="2"/>
  <c r="Q28" i="2" s="1"/>
  <c r="O28" i="2"/>
  <c r="Q15" i="2"/>
  <c r="P15" i="2"/>
  <c r="O15" i="2"/>
  <c r="P24" i="2"/>
  <c r="Q24" i="2" s="1"/>
  <c r="O24" i="2"/>
  <c r="L34" i="2"/>
  <c r="M34" i="2" s="1"/>
  <c r="L33" i="2"/>
  <c r="M33" i="2" s="1"/>
  <c r="L23" i="2"/>
  <c r="M23" i="2" s="1"/>
  <c r="P30" i="2"/>
  <c r="O30" i="2"/>
  <c r="Q30" i="2"/>
  <c r="P18" i="2"/>
  <c r="Q18" i="2" s="1"/>
  <c r="O18" i="2"/>
  <c r="O16" i="2"/>
  <c r="P16" i="2"/>
  <c r="Q16" i="2" s="1"/>
  <c r="L35" i="2"/>
  <c r="M35" i="2" s="1"/>
  <c r="O25" i="2" l="1"/>
  <c r="P22" i="2"/>
  <c r="O22" i="2"/>
  <c r="Q22" i="2"/>
  <c r="P17" i="2"/>
  <c r="Q17" i="2" s="1"/>
  <c r="O17" i="2"/>
  <c r="P31" i="2"/>
  <c r="Q31" i="2" s="1"/>
  <c r="O31" i="2"/>
  <c r="P23" i="2"/>
  <c r="Q23" i="2" s="1"/>
  <c r="O23" i="2"/>
  <c r="P33" i="2"/>
  <c r="Q33" i="2" s="1"/>
  <c r="O33" i="2"/>
  <c r="P20" i="2"/>
  <c r="Q20" i="2" s="1"/>
  <c r="O20" i="2"/>
  <c r="O35" i="2"/>
  <c r="P35" i="2"/>
  <c r="Q35" i="2" s="1"/>
  <c r="P34" i="2"/>
  <c r="Q34" i="2" s="1"/>
  <c r="O34" i="2"/>
</calcChain>
</file>

<file path=xl/sharedStrings.xml><?xml version="1.0" encoding="utf-8"?>
<sst xmlns="http://schemas.openxmlformats.org/spreadsheetml/2006/main" count="59" uniqueCount="55">
  <si>
    <t>產能平衡圖 - 第2頁 (產能需求檢視與參數調整計算)</t>
  </si>
  <si>
    <t>項目</t>
  </si>
  <si>
    <t>uPOL（共用設備）</t>
  </si>
  <si>
    <t>uBMU（共用設備）</t>
  </si>
  <si>
    <t>產能需求(顆數)</t>
  </si>
  <si>
    <t>一片幾顆</t>
  </si>
  <si>
    <t>工單片數</t>
  </si>
  <si>
    <t>良率</t>
  </si>
  <si>
    <t>每日生產時數</t>
  </si>
  <si>
    <t>每月生產日數</t>
  </si>
  <si>
    <t>總片數(每月)</t>
  </si>
  <si>
    <t>筆數(每日)</t>
  </si>
  <si>
    <t>設備名稱</t>
  </si>
  <si>
    <t>需求計算</t>
  </si>
  <si>
    <t>稼動率計算</t>
  </si>
  <si>
    <t>C/T
(sec/片)</t>
  </si>
  <si>
    <t>片數
(片/LOT)</t>
  </si>
  <si>
    <t>日需求LOT
(日/LOT)</t>
  </si>
  <si>
    <t>製程道次
(次/片)</t>
  </si>
  <si>
    <t>平均 C/T
(sec/片)</t>
  </si>
  <si>
    <t>總產能
(片/日)</t>
  </si>
  <si>
    <t>需求時間
(hr/日)</t>
  </si>
  <si>
    <t>需求台數</t>
  </si>
  <si>
    <t>擴產前設備數</t>
  </si>
  <si>
    <t>擴產前稼動率</t>
  </si>
  <si>
    <t>擴產後設備數</t>
  </si>
  <si>
    <t>擴產後稼動率</t>
  </si>
  <si>
    <t>ABF壓合</t>
  </si>
  <si>
    <t>雷射</t>
  </si>
  <si>
    <t>CF4 Plasma</t>
  </si>
  <si>
    <t>酸洗</t>
  </si>
  <si>
    <t>粗化</t>
  </si>
  <si>
    <t>著膜</t>
  </si>
  <si>
    <t>乾膜壓合</t>
  </si>
  <si>
    <t>綠漆印刷</t>
  </si>
  <si>
    <t>曝光</t>
  </si>
  <si>
    <t>乾膜顯影</t>
  </si>
  <si>
    <t>濕膜顯影</t>
  </si>
  <si>
    <t>電鍍</t>
  </si>
  <si>
    <t>去膜</t>
  </si>
  <si>
    <t>Cu蝕刻</t>
  </si>
  <si>
    <t>NiCr蝕刻</t>
  </si>
  <si>
    <t>AOI</t>
  </si>
  <si>
    <t>SMT</t>
  </si>
  <si>
    <t>Slicer</t>
  </si>
  <si>
    <t>NiAu</t>
  </si>
  <si>
    <t>uPOL-DB</t>
  </si>
  <si>
    <t>uPOL-TP</t>
  </si>
  <si>
    <t>uBMU-DB</t>
  </si>
  <si>
    <t>De-Flux</t>
  </si>
  <si>
    <t>Molding</t>
  </si>
  <si>
    <t>Laser Marking</t>
  </si>
  <si>
    <t>uBMU-TP</t>
  </si>
  <si>
    <t>uBMU</t>
    <phoneticPr fontId="3" type="noConversion"/>
  </si>
  <si>
    <t>uPOL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</si>
</sst>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theme="1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  <font>
      <b/>
      <sz val="11"/>
      <color theme="1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4D7D7"/>
        <bgColor indexed="64"/>
      </patternFill>
    </fill>
    <fill>
      <patternFill patternType="solid">
        <fgColor rgb="FF3FFF9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2CEEF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9">
    <xf numFmtId="0" fontId="0" fillId="0" borderId="0" xfId="0"/>
    <xf numFmtId="0" fontId="4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3" borderId="4" xfId="1" applyFont="1" applyFill="1" applyBorder="1">
      <alignment vertical="center"/>
    </xf>
    <xf numFmtId="3" fontId="4" fillId="0" borderId="5" xfId="1" applyNumberFormat="1" applyFont="1" applyBorder="1">
      <alignment vertical="center"/>
    </xf>
    <xf numFmtId="3" fontId="4" fillId="0" borderId="6" xfId="1" applyNumberFormat="1" applyFont="1" applyBorder="1">
      <alignment vertical="center"/>
    </xf>
    <xf numFmtId="9" fontId="4" fillId="0" borderId="5" xfId="1" applyNumberFormat="1" applyFont="1" applyBorder="1">
      <alignment vertical="center"/>
    </xf>
    <xf numFmtId="9" fontId="4" fillId="0" borderId="6" xfId="1" applyNumberFormat="1" applyFont="1" applyBorder="1">
      <alignment vertical="center"/>
    </xf>
    <xf numFmtId="0" fontId="4" fillId="3" borderId="4" xfId="1" applyFont="1" applyFill="1" applyBorder="1">
      <alignment vertical="center"/>
    </xf>
    <xf numFmtId="0" fontId="4" fillId="3" borderId="7" xfId="1" applyFont="1" applyFill="1" applyBorder="1">
      <alignment vertical="center"/>
    </xf>
    <xf numFmtId="3" fontId="4" fillId="0" borderId="8" xfId="1" applyNumberFormat="1" applyFont="1" applyBorder="1">
      <alignment vertical="center"/>
    </xf>
    <xf numFmtId="3" fontId="4" fillId="0" borderId="9" xfId="1" applyNumberFormat="1" applyFont="1" applyBorder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7" borderId="5" xfId="1" applyFont="1" applyFill="1" applyBorder="1" applyAlignment="1">
      <alignment horizontal="center" vertical="center" wrapText="1"/>
    </xf>
    <xf numFmtId="0" fontId="5" fillId="7" borderId="6" xfId="1" applyFont="1" applyFill="1" applyBorder="1" applyAlignment="1">
      <alignment horizontal="center" vertical="center" wrapText="1"/>
    </xf>
    <xf numFmtId="176" fontId="4" fillId="0" borderId="5" xfId="1" applyNumberFormat="1" applyFont="1" applyBorder="1">
      <alignment vertical="center"/>
    </xf>
    <xf numFmtId="4" fontId="4" fillId="0" borderId="5" xfId="1" applyNumberFormat="1" applyFont="1" applyBorder="1">
      <alignment vertical="center"/>
    </xf>
    <xf numFmtId="0" fontId="2" fillId="0" borderId="0" xfId="1" applyFont="1">
      <alignment vertical="center"/>
    </xf>
    <xf numFmtId="0" fontId="5" fillId="4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5" fillId="7" borderId="2" xfId="1" applyFont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/>
    </xf>
  </cellXfs>
  <cellStyles count="2">
    <cellStyle name="一般" xfId="0" builtinId="0"/>
    <cellStyle name="一般 2" xfId="1" xr:uid="{4766BB6F-C155-4DA1-A98B-DDAD58A4436C}"/>
  </cellStyles>
  <dxfs count="2"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5437-0B7D-4C8C-BD49-B74640983A74}">
  <sheetPr codeName="工作表3"/>
  <dimension ref="A1:Q40"/>
  <sheetViews>
    <sheetView tabSelected="1" workbookViewId="0">
      <selection activeCell="F5" sqref="F5"/>
    </sheetView>
  </sheetViews>
  <sheetFormatPr defaultColWidth="10.140625" defaultRowHeight="15"/>
  <cols>
    <col min="1" max="1" width="21.28515625" style="1" customWidth="1"/>
    <col min="2" max="2" width="21.5703125" style="1" bestFit="1" customWidth="1"/>
    <col min="3" max="3" width="22.5703125" style="1" bestFit="1" customWidth="1"/>
    <col min="4" max="17" width="14.42578125" style="1" customWidth="1"/>
    <col min="18" max="16384" width="10.140625" style="1"/>
  </cols>
  <sheetData>
    <row r="1" spans="1:17" ht="26.1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5.75" thickBot="1"/>
    <row r="3" spans="1:17">
      <c r="A3" s="2" t="s">
        <v>1</v>
      </c>
      <c r="B3" s="3" t="s">
        <v>54</v>
      </c>
      <c r="C3" s="4" t="s">
        <v>53</v>
      </c>
    </row>
    <row r="4" spans="1:17">
      <c r="A4" s="5" t="s">
        <v>4</v>
      </c>
      <c r="B4" s="6">
        <v>6000000</v>
      </c>
      <c r="C4" s="7">
        <v>2200000</v>
      </c>
    </row>
    <row r="5" spans="1:17">
      <c r="A5" s="5" t="s">
        <v>5</v>
      </c>
      <c r="B5" s="6">
        <v>1516</v>
      </c>
      <c r="C5" s="7">
        <v>648</v>
      </c>
    </row>
    <row r="6" spans="1:17">
      <c r="A6" s="5" t="s">
        <v>6</v>
      </c>
      <c r="B6" s="6">
        <v>8</v>
      </c>
      <c r="C6" s="7">
        <v>10</v>
      </c>
    </row>
    <row r="7" spans="1:17">
      <c r="A7" s="5" t="s">
        <v>7</v>
      </c>
      <c r="B7" s="8">
        <v>1</v>
      </c>
      <c r="C7" s="9">
        <v>1</v>
      </c>
    </row>
    <row r="8" spans="1:17">
      <c r="A8" s="5" t="s">
        <v>8</v>
      </c>
      <c r="B8" s="6">
        <v>20</v>
      </c>
      <c r="C8" s="7">
        <v>20</v>
      </c>
    </row>
    <row r="9" spans="1:17">
      <c r="A9" s="5" t="s">
        <v>9</v>
      </c>
      <c r="B9" s="6">
        <v>28</v>
      </c>
      <c r="C9" s="7">
        <v>28</v>
      </c>
    </row>
    <row r="10" spans="1:17">
      <c r="A10" s="10" t="s">
        <v>10</v>
      </c>
      <c r="B10" s="6">
        <f>IFERROR(CEILING((B4/B5)/B7,1),0)</f>
        <v>3958</v>
      </c>
      <c r="C10" s="7">
        <f>IFERROR(CEILING((C4/C5)/C7,1),0)</f>
        <v>3396</v>
      </c>
    </row>
    <row r="11" spans="1:17" ht="15.75" thickBot="1">
      <c r="A11" s="11" t="s">
        <v>11</v>
      </c>
      <c r="B11" s="12">
        <f>IFERROR(CEILING((B10/B9)/B6,1),0)</f>
        <v>18</v>
      </c>
      <c r="C11" s="13">
        <f>IFERROR(CEILING((C10/C9)/C6,1),0)</f>
        <v>13</v>
      </c>
    </row>
    <row r="12" spans="1:17" ht="15.75" thickBot="1"/>
    <row r="13" spans="1:17" ht="42" customHeight="1">
      <c r="A13" s="14" t="s">
        <v>12</v>
      </c>
      <c r="B13" s="24" t="s">
        <v>2</v>
      </c>
      <c r="C13" s="24"/>
      <c r="D13" s="24"/>
      <c r="E13" s="24"/>
      <c r="F13" s="25" t="s">
        <v>3</v>
      </c>
      <c r="G13" s="25"/>
      <c r="H13" s="25"/>
      <c r="I13" s="25"/>
      <c r="J13" s="26" t="s">
        <v>13</v>
      </c>
      <c r="K13" s="26"/>
      <c r="L13" s="26"/>
      <c r="M13" s="26"/>
      <c r="N13" s="27" t="s">
        <v>14</v>
      </c>
      <c r="O13" s="27"/>
      <c r="P13" s="27"/>
      <c r="Q13" s="28"/>
    </row>
    <row r="14" spans="1:17" ht="42" customHeight="1">
      <c r="A14" s="15"/>
      <c r="B14" s="16" t="s">
        <v>15</v>
      </c>
      <c r="C14" s="16" t="s">
        <v>16</v>
      </c>
      <c r="D14" s="16" t="s">
        <v>17</v>
      </c>
      <c r="E14" s="16" t="s">
        <v>18</v>
      </c>
      <c r="F14" s="17" t="s">
        <v>15</v>
      </c>
      <c r="G14" s="17" t="s">
        <v>16</v>
      </c>
      <c r="H14" s="17" t="s">
        <v>17</v>
      </c>
      <c r="I14" s="17" t="s">
        <v>18</v>
      </c>
      <c r="J14" s="18" t="s">
        <v>19</v>
      </c>
      <c r="K14" s="18" t="s">
        <v>20</v>
      </c>
      <c r="L14" s="18" t="s">
        <v>21</v>
      </c>
      <c r="M14" s="18" t="s">
        <v>22</v>
      </c>
      <c r="N14" s="19" t="s">
        <v>23</v>
      </c>
      <c r="O14" s="19" t="s">
        <v>24</v>
      </c>
      <c r="P14" s="19" t="s">
        <v>25</v>
      </c>
      <c r="Q14" s="20" t="s">
        <v>26</v>
      </c>
    </row>
    <row r="15" spans="1:17">
      <c r="A15" s="10" t="s">
        <v>27</v>
      </c>
      <c r="B15" s="21">
        <v>50</v>
      </c>
      <c r="C15" s="6">
        <v>8</v>
      </c>
      <c r="D15" s="22">
        <f>B11</f>
        <v>18</v>
      </c>
      <c r="E15" s="6">
        <v>4</v>
      </c>
      <c r="F15" s="21">
        <v>50</v>
      </c>
      <c r="G15" s="6">
        <v>10</v>
      </c>
      <c r="H15" s="22">
        <f>C11</f>
        <v>13</v>
      </c>
      <c r="I15" s="6">
        <v>2</v>
      </c>
      <c r="J15" s="21">
        <f t="shared" ref="J15:J40" si="0">IFERROR((IF(B15="",0,B15*C15*D15*E15)+IF(F15="",0,F15*G15*H15*I15))/(IF(B15="",0,C15*D15)+IF(F15="",0,G15*H15)),0)</f>
        <v>152.55474452554745</v>
      </c>
      <c r="K15" s="6">
        <f t="shared" ref="K15:K40" si="1">IFERROR(C15*D15,0)+IFERROR(G15*H15,0)</f>
        <v>274</v>
      </c>
      <c r="L15" s="22">
        <f t="shared" ref="L15:L40" si="2">IFERROR(J15*K15/3600,0)</f>
        <v>11.611111111111111</v>
      </c>
      <c r="M15" s="22">
        <f>IFERROR(L15/B8,0)</f>
        <v>0.58055555555555549</v>
      </c>
      <c r="N15" s="6">
        <v>1</v>
      </c>
      <c r="O15" s="8">
        <f t="shared" ref="O15:O40" si="3">IFERROR(M15/N15,0)</f>
        <v>0.58055555555555549</v>
      </c>
      <c r="P15" s="6">
        <f t="shared" ref="P15:P40" si="4">MAX(N15,CEILING(M15,1))</f>
        <v>1</v>
      </c>
      <c r="Q15" s="9">
        <f t="shared" ref="Q15:Q40" si="5">IFERROR(M15/P15,0)</f>
        <v>0.58055555555555549</v>
      </c>
    </row>
    <row r="16" spans="1:17">
      <c r="A16" s="10" t="s">
        <v>28</v>
      </c>
      <c r="B16" s="21">
        <v>67.400000000000006</v>
      </c>
      <c r="C16" s="6">
        <v>8</v>
      </c>
      <c r="D16" s="22">
        <f>B11</f>
        <v>18</v>
      </c>
      <c r="E16" s="6">
        <v>1</v>
      </c>
      <c r="F16" s="21">
        <v>146</v>
      </c>
      <c r="G16" s="6">
        <v>10</v>
      </c>
      <c r="H16" s="22">
        <f>C11</f>
        <v>13</v>
      </c>
      <c r="I16" s="6">
        <v>1</v>
      </c>
      <c r="J16" s="21">
        <f t="shared" si="0"/>
        <v>104.6919708029197</v>
      </c>
      <c r="K16" s="6">
        <f t="shared" si="1"/>
        <v>274</v>
      </c>
      <c r="L16" s="22">
        <f t="shared" si="2"/>
        <v>7.9682222222222219</v>
      </c>
      <c r="M16" s="22">
        <f>IFERROR(L16/B8,0)</f>
        <v>0.3984111111111111</v>
      </c>
      <c r="N16" s="6">
        <v>2</v>
      </c>
      <c r="O16" s="8">
        <f t="shared" si="3"/>
        <v>0.19920555555555555</v>
      </c>
      <c r="P16" s="6">
        <f t="shared" si="4"/>
        <v>2</v>
      </c>
      <c r="Q16" s="9">
        <f t="shared" si="5"/>
        <v>0.19920555555555555</v>
      </c>
    </row>
    <row r="17" spans="1:17">
      <c r="A17" s="10" t="s">
        <v>29</v>
      </c>
      <c r="B17" s="21">
        <v>75</v>
      </c>
      <c r="C17" s="6">
        <v>8</v>
      </c>
      <c r="D17" s="22">
        <f>B11</f>
        <v>18</v>
      </c>
      <c r="E17" s="6">
        <v>4</v>
      </c>
      <c r="F17" s="21">
        <v>60</v>
      </c>
      <c r="G17" s="6">
        <v>10</v>
      </c>
      <c r="H17" s="22">
        <f>C11</f>
        <v>13</v>
      </c>
      <c r="I17" s="6">
        <v>2</v>
      </c>
      <c r="J17" s="21">
        <f t="shared" si="0"/>
        <v>214.5985401459854</v>
      </c>
      <c r="K17" s="6">
        <f t="shared" si="1"/>
        <v>274</v>
      </c>
      <c r="L17" s="22">
        <f t="shared" si="2"/>
        <v>16.333333333333332</v>
      </c>
      <c r="M17" s="22">
        <f>IFERROR(L17/B8,0)</f>
        <v>0.81666666666666665</v>
      </c>
      <c r="N17" s="6">
        <v>2</v>
      </c>
      <c r="O17" s="8">
        <f t="shared" si="3"/>
        <v>0.40833333333333333</v>
      </c>
      <c r="P17" s="6">
        <f t="shared" si="4"/>
        <v>2</v>
      </c>
      <c r="Q17" s="9">
        <f t="shared" si="5"/>
        <v>0.40833333333333333</v>
      </c>
    </row>
    <row r="18" spans="1:17">
      <c r="A18" s="10" t="s">
        <v>30</v>
      </c>
      <c r="B18" s="21">
        <v>25</v>
      </c>
      <c r="C18" s="6">
        <v>8</v>
      </c>
      <c r="D18" s="22">
        <f>B11</f>
        <v>18</v>
      </c>
      <c r="E18" s="6">
        <v>18</v>
      </c>
      <c r="F18" s="21">
        <v>25</v>
      </c>
      <c r="G18" s="6">
        <v>10</v>
      </c>
      <c r="H18" s="22">
        <f>C11</f>
        <v>13</v>
      </c>
      <c r="I18" s="6">
        <v>11</v>
      </c>
      <c r="J18" s="21">
        <f t="shared" si="0"/>
        <v>366.97080291970804</v>
      </c>
      <c r="K18" s="6">
        <f t="shared" si="1"/>
        <v>274</v>
      </c>
      <c r="L18" s="22">
        <f t="shared" si="2"/>
        <v>27.930555555555557</v>
      </c>
      <c r="M18" s="22">
        <f>IFERROR(L18/B8,0)</f>
        <v>1.3965277777777778</v>
      </c>
      <c r="N18" s="6">
        <v>2</v>
      </c>
      <c r="O18" s="8">
        <f t="shared" si="3"/>
        <v>0.69826388888888891</v>
      </c>
      <c r="P18" s="6">
        <f t="shared" si="4"/>
        <v>2</v>
      </c>
      <c r="Q18" s="9">
        <f t="shared" si="5"/>
        <v>0.69826388888888891</v>
      </c>
    </row>
    <row r="19" spans="1:17">
      <c r="A19" s="10" t="s">
        <v>31</v>
      </c>
      <c r="B19" s="21">
        <v>19.329999999999998</v>
      </c>
      <c r="C19" s="6">
        <v>8</v>
      </c>
      <c r="D19" s="22">
        <f>B11</f>
        <v>18</v>
      </c>
      <c r="E19" s="6">
        <v>5</v>
      </c>
      <c r="F19" s="21">
        <v>19.329999999999998</v>
      </c>
      <c r="G19" s="6">
        <v>10</v>
      </c>
      <c r="H19" s="22">
        <f>C11</f>
        <v>13</v>
      </c>
      <c r="I19" s="6">
        <v>5</v>
      </c>
      <c r="J19" s="21">
        <f t="shared" si="0"/>
        <v>96.649999999999991</v>
      </c>
      <c r="K19" s="6">
        <f t="shared" si="1"/>
        <v>274</v>
      </c>
      <c r="L19" s="22">
        <f t="shared" si="2"/>
        <v>7.3561388888888883</v>
      </c>
      <c r="M19" s="22">
        <f>IFERROR(L19/B8,0)</f>
        <v>0.36780694444444439</v>
      </c>
      <c r="N19" s="6">
        <v>1</v>
      </c>
      <c r="O19" s="8">
        <f t="shared" si="3"/>
        <v>0.36780694444444439</v>
      </c>
      <c r="P19" s="6">
        <f t="shared" si="4"/>
        <v>1</v>
      </c>
      <c r="Q19" s="9">
        <f t="shared" si="5"/>
        <v>0.36780694444444439</v>
      </c>
    </row>
    <row r="20" spans="1:17">
      <c r="A20" s="10" t="s">
        <v>32</v>
      </c>
      <c r="B20" s="21">
        <v>168.75</v>
      </c>
      <c r="C20" s="6">
        <v>8</v>
      </c>
      <c r="D20" s="22">
        <f>B11</f>
        <v>18</v>
      </c>
      <c r="E20" s="6">
        <v>4</v>
      </c>
      <c r="F20" s="21">
        <v>135</v>
      </c>
      <c r="G20" s="6">
        <v>10</v>
      </c>
      <c r="H20" s="22">
        <f>C11</f>
        <v>13</v>
      </c>
      <c r="I20" s="6">
        <v>4</v>
      </c>
      <c r="J20" s="21">
        <f t="shared" si="0"/>
        <v>610.94890510948903</v>
      </c>
      <c r="K20" s="6">
        <f t="shared" si="1"/>
        <v>274</v>
      </c>
      <c r="L20" s="22">
        <f t="shared" si="2"/>
        <v>46.5</v>
      </c>
      <c r="M20" s="22">
        <f>IFERROR(L20/B8,0)</f>
        <v>2.3250000000000002</v>
      </c>
      <c r="N20" s="6">
        <v>3</v>
      </c>
      <c r="O20" s="8">
        <f t="shared" si="3"/>
        <v>0.77500000000000002</v>
      </c>
      <c r="P20" s="6">
        <f t="shared" si="4"/>
        <v>3</v>
      </c>
      <c r="Q20" s="9">
        <f t="shared" si="5"/>
        <v>0.77500000000000002</v>
      </c>
    </row>
    <row r="21" spans="1:17">
      <c r="A21" s="10" t="s">
        <v>33</v>
      </c>
      <c r="B21" s="21">
        <v>45</v>
      </c>
      <c r="C21" s="6">
        <v>8</v>
      </c>
      <c r="D21" s="22">
        <f>B11</f>
        <v>18</v>
      </c>
      <c r="E21" s="6">
        <v>4</v>
      </c>
      <c r="F21" s="21">
        <v>45</v>
      </c>
      <c r="G21" s="6">
        <v>10</v>
      </c>
      <c r="H21" s="22">
        <f>C11</f>
        <v>13</v>
      </c>
      <c r="I21" s="6">
        <v>3</v>
      </c>
      <c r="J21" s="21">
        <f t="shared" si="0"/>
        <v>158.64963503649636</v>
      </c>
      <c r="K21" s="6">
        <f t="shared" si="1"/>
        <v>274</v>
      </c>
      <c r="L21" s="22">
        <f t="shared" si="2"/>
        <v>12.074999999999999</v>
      </c>
      <c r="M21" s="22">
        <f>IFERROR(L21/B8,0)</f>
        <v>0.60375000000000001</v>
      </c>
      <c r="N21" s="6">
        <v>1</v>
      </c>
      <c r="O21" s="8">
        <f t="shared" si="3"/>
        <v>0.60375000000000001</v>
      </c>
      <c r="P21" s="6">
        <f t="shared" si="4"/>
        <v>1</v>
      </c>
      <c r="Q21" s="9">
        <f t="shared" si="5"/>
        <v>0.60375000000000001</v>
      </c>
    </row>
    <row r="22" spans="1:17">
      <c r="A22" s="10" t="s">
        <v>34</v>
      </c>
      <c r="B22" s="21">
        <v>130</v>
      </c>
      <c r="C22" s="6">
        <v>8</v>
      </c>
      <c r="D22" s="22">
        <f>B11</f>
        <v>18</v>
      </c>
      <c r="E22" s="6">
        <v>2</v>
      </c>
      <c r="F22" s="21">
        <v>130</v>
      </c>
      <c r="G22" s="6">
        <v>10</v>
      </c>
      <c r="H22" s="22">
        <f>C11</f>
        <v>13</v>
      </c>
      <c r="I22" s="6">
        <v>3</v>
      </c>
      <c r="J22" s="21">
        <f t="shared" si="0"/>
        <v>321.67883211678833</v>
      </c>
      <c r="K22" s="6">
        <f t="shared" si="1"/>
        <v>274</v>
      </c>
      <c r="L22" s="22">
        <f t="shared" si="2"/>
        <v>24.483333333333334</v>
      </c>
      <c r="M22" s="22">
        <f>IFERROR(L22/B8,0)</f>
        <v>1.2241666666666666</v>
      </c>
      <c r="N22" s="6">
        <v>2</v>
      </c>
      <c r="O22" s="8">
        <f t="shared" si="3"/>
        <v>0.61208333333333331</v>
      </c>
      <c r="P22" s="6">
        <f t="shared" si="4"/>
        <v>2</v>
      </c>
      <c r="Q22" s="9">
        <f t="shared" si="5"/>
        <v>0.61208333333333331</v>
      </c>
    </row>
    <row r="23" spans="1:17">
      <c r="A23" s="10" t="s">
        <v>35</v>
      </c>
      <c r="B23" s="21">
        <v>47.17</v>
      </c>
      <c r="C23" s="6">
        <v>8</v>
      </c>
      <c r="D23" s="22">
        <f>B11</f>
        <v>18</v>
      </c>
      <c r="E23" s="6">
        <v>6</v>
      </c>
      <c r="F23" s="21">
        <v>51.21</v>
      </c>
      <c r="G23" s="6">
        <v>10</v>
      </c>
      <c r="H23" s="22">
        <f>C11</f>
        <v>13</v>
      </c>
      <c r="I23" s="6">
        <v>7</v>
      </c>
      <c r="J23" s="21">
        <f t="shared" si="0"/>
        <v>318.81744525547447</v>
      </c>
      <c r="K23" s="6">
        <f t="shared" si="1"/>
        <v>274</v>
      </c>
      <c r="L23" s="22">
        <f t="shared" si="2"/>
        <v>24.265550000000005</v>
      </c>
      <c r="M23" s="22">
        <f>IFERROR(L23/B8,0)</f>
        <v>1.2132775000000002</v>
      </c>
      <c r="N23" s="6">
        <v>2</v>
      </c>
      <c r="O23" s="8">
        <f t="shared" si="3"/>
        <v>0.60663875000000012</v>
      </c>
      <c r="P23" s="6">
        <f t="shared" si="4"/>
        <v>2</v>
      </c>
      <c r="Q23" s="9">
        <f t="shared" si="5"/>
        <v>0.60663875000000012</v>
      </c>
    </row>
    <row r="24" spans="1:17">
      <c r="A24" s="10" t="s">
        <v>36</v>
      </c>
      <c r="B24" s="21">
        <v>58</v>
      </c>
      <c r="C24" s="6">
        <v>8</v>
      </c>
      <c r="D24" s="22">
        <f>B11</f>
        <v>18</v>
      </c>
      <c r="E24" s="6">
        <v>3</v>
      </c>
      <c r="F24" s="21">
        <v>29</v>
      </c>
      <c r="G24" s="6">
        <v>10</v>
      </c>
      <c r="H24" s="22">
        <f>C11</f>
        <v>13</v>
      </c>
      <c r="I24" s="6">
        <v>3</v>
      </c>
      <c r="J24" s="21">
        <f t="shared" si="0"/>
        <v>132.72262773722628</v>
      </c>
      <c r="K24" s="6">
        <f t="shared" si="1"/>
        <v>274</v>
      </c>
      <c r="L24" s="22">
        <f t="shared" si="2"/>
        <v>10.101666666666667</v>
      </c>
      <c r="M24" s="22">
        <f>IFERROR(L24/B8,0)</f>
        <v>0.50508333333333333</v>
      </c>
      <c r="N24" s="6">
        <v>1</v>
      </c>
      <c r="O24" s="8">
        <f t="shared" si="3"/>
        <v>0.50508333333333333</v>
      </c>
      <c r="P24" s="6">
        <f t="shared" si="4"/>
        <v>1</v>
      </c>
      <c r="Q24" s="9">
        <f t="shared" si="5"/>
        <v>0.50508333333333333</v>
      </c>
    </row>
    <row r="25" spans="1:17">
      <c r="A25" s="10" t="s">
        <v>37</v>
      </c>
      <c r="B25" s="21">
        <v>11.6</v>
      </c>
      <c r="C25" s="6">
        <v>8</v>
      </c>
      <c r="D25" s="22">
        <f>B11</f>
        <v>18</v>
      </c>
      <c r="E25" s="6">
        <v>2</v>
      </c>
      <c r="F25" s="21">
        <v>11.6</v>
      </c>
      <c r="G25" s="6">
        <v>10</v>
      </c>
      <c r="H25" s="22">
        <f>C11</f>
        <v>13</v>
      </c>
      <c r="I25" s="6">
        <v>3</v>
      </c>
      <c r="J25" s="21">
        <f t="shared" si="0"/>
        <v>28.703649635036495</v>
      </c>
      <c r="K25" s="6">
        <f t="shared" si="1"/>
        <v>274</v>
      </c>
      <c r="L25" s="22">
        <f t="shared" si="2"/>
        <v>2.1846666666666663</v>
      </c>
      <c r="M25" s="22">
        <f>IFERROR(L25/B8,0)</f>
        <v>0.10923333333333332</v>
      </c>
      <c r="N25" s="6">
        <v>1</v>
      </c>
      <c r="O25" s="8">
        <f t="shared" si="3"/>
        <v>0.10923333333333332</v>
      </c>
      <c r="P25" s="6">
        <f t="shared" si="4"/>
        <v>1</v>
      </c>
      <c r="Q25" s="9">
        <f t="shared" si="5"/>
        <v>0.10923333333333332</v>
      </c>
    </row>
    <row r="26" spans="1:17">
      <c r="A26" s="10" t="s">
        <v>38</v>
      </c>
      <c r="B26" s="21">
        <v>92.5</v>
      </c>
      <c r="C26" s="6">
        <v>8</v>
      </c>
      <c r="D26" s="22">
        <f>B11</f>
        <v>18</v>
      </c>
      <c r="E26" s="6">
        <v>4</v>
      </c>
      <c r="F26" s="21">
        <v>66.5</v>
      </c>
      <c r="G26" s="6">
        <v>10</v>
      </c>
      <c r="H26" s="22">
        <f>C11</f>
        <v>13</v>
      </c>
      <c r="I26" s="6">
        <v>4</v>
      </c>
      <c r="J26" s="21">
        <f t="shared" si="0"/>
        <v>320.65693430656933</v>
      </c>
      <c r="K26" s="6">
        <f t="shared" si="1"/>
        <v>274</v>
      </c>
      <c r="L26" s="22">
        <f t="shared" si="2"/>
        <v>24.405555555555555</v>
      </c>
      <c r="M26" s="22">
        <f>IFERROR(L26/B8,0)</f>
        <v>1.2202777777777778</v>
      </c>
      <c r="N26" s="6">
        <v>1</v>
      </c>
      <c r="O26" s="8">
        <f t="shared" si="3"/>
        <v>1.2202777777777778</v>
      </c>
      <c r="P26" s="6">
        <f t="shared" si="4"/>
        <v>2</v>
      </c>
      <c r="Q26" s="9">
        <f t="shared" si="5"/>
        <v>0.6101388888888889</v>
      </c>
    </row>
    <row r="27" spans="1:17">
      <c r="A27" s="10" t="s">
        <v>39</v>
      </c>
      <c r="B27" s="21">
        <v>25</v>
      </c>
      <c r="C27" s="6">
        <v>8</v>
      </c>
      <c r="D27" s="22">
        <f>B11</f>
        <v>18</v>
      </c>
      <c r="E27" s="6">
        <v>4</v>
      </c>
      <c r="F27" s="21">
        <v>25</v>
      </c>
      <c r="G27" s="6">
        <v>10</v>
      </c>
      <c r="H27" s="22">
        <f>C11</f>
        <v>13</v>
      </c>
      <c r="I27" s="6">
        <v>3</v>
      </c>
      <c r="J27" s="21">
        <f t="shared" si="0"/>
        <v>88.138686131386862</v>
      </c>
      <c r="K27" s="6">
        <f t="shared" si="1"/>
        <v>274</v>
      </c>
      <c r="L27" s="22">
        <f t="shared" si="2"/>
        <v>6.708333333333333</v>
      </c>
      <c r="M27" s="22">
        <f>IFERROR(L27/B8,0)</f>
        <v>0.33541666666666664</v>
      </c>
      <c r="N27" s="6">
        <v>1</v>
      </c>
      <c r="O27" s="8">
        <f t="shared" si="3"/>
        <v>0.33541666666666664</v>
      </c>
      <c r="P27" s="6">
        <f t="shared" si="4"/>
        <v>1</v>
      </c>
      <c r="Q27" s="9">
        <f t="shared" si="5"/>
        <v>0.33541666666666664</v>
      </c>
    </row>
    <row r="28" spans="1:17">
      <c r="A28" s="10" t="s">
        <v>40</v>
      </c>
      <c r="B28" s="21">
        <v>13.33</v>
      </c>
      <c r="C28" s="6">
        <v>8</v>
      </c>
      <c r="D28" s="22">
        <f>B11</f>
        <v>18</v>
      </c>
      <c r="E28" s="6">
        <v>9</v>
      </c>
      <c r="F28" s="21">
        <v>15.43</v>
      </c>
      <c r="G28" s="6">
        <v>10</v>
      </c>
      <c r="H28" s="22">
        <f>C11</f>
        <v>13</v>
      </c>
      <c r="I28" s="6">
        <v>7</v>
      </c>
      <c r="J28" s="21">
        <f t="shared" si="0"/>
        <v>114.29554744525548</v>
      </c>
      <c r="K28" s="6">
        <f t="shared" si="1"/>
        <v>274</v>
      </c>
      <c r="L28" s="22">
        <f t="shared" si="2"/>
        <v>8.6991611111111116</v>
      </c>
      <c r="M28" s="22">
        <f>IFERROR(L28/B8,0)</f>
        <v>0.43495805555555556</v>
      </c>
      <c r="N28" s="6">
        <v>1</v>
      </c>
      <c r="O28" s="8">
        <f t="shared" si="3"/>
        <v>0.43495805555555556</v>
      </c>
      <c r="P28" s="6">
        <f t="shared" si="4"/>
        <v>1</v>
      </c>
      <c r="Q28" s="9">
        <f t="shared" si="5"/>
        <v>0.43495805555555556</v>
      </c>
    </row>
    <row r="29" spans="1:17">
      <c r="A29" s="10" t="s">
        <v>41</v>
      </c>
      <c r="B29" s="21">
        <v>90</v>
      </c>
      <c r="C29" s="6">
        <v>8</v>
      </c>
      <c r="D29" s="22">
        <f>B11</f>
        <v>18</v>
      </c>
      <c r="E29" s="6">
        <v>3</v>
      </c>
      <c r="F29" s="21">
        <v>72</v>
      </c>
      <c r="G29" s="6">
        <v>10</v>
      </c>
      <c r="H29" s="22">
        <f>C11</f>
        <v>13</v>
      </c>
      <c r="I29" s="6">
        <v>3</v>
      </c>
      <c r="J29" s="21">
        <f t="shared" si="0"/>
        <v>244.37956204379563</v>
      </c>
      <c r="K29" s="6">
        <f t="shared" si="1"/>
        <v>274</v>
      </c>
      <c r="L29" s="22">
        <f t="shared" si="2"/>
        <v>18.600000000000001</v>
      </c>
      <c r="M29" s="22">
        <f>IFERROR(L29/B8,0)</f>
        <v>0.93</v>
      </c>
      <c r="N29" s="6">
        <v>1</v>
      </c>
      <c r="O29" s="8">
        <f t="shared" si="3"/>
        <v>0.93</v>
      </c>
      <c r="P29" s="6">
        <f t="shared" si="4"/>
        <v>1</v>
      </c>
      <c r="Q29" s="9">
        <f t="shared" si="5"/>
        <v>0.93</v>
      </c>
    </row>
    <row r="30" spans="1:17">
      <c r="A30" s="10" t="s">
        <v>42</v>
      </c>
      <c r="B30" s="21">
        <v>27.75</v>
      </c>
      <c r="C30" s="6">
        <v>8</v>
      </c>
      <c r="D30" s="22">
        <f>B11</f>
        <v>18</v>
      </c>
      <c r="E30" s="6">
        <v>10</v>
      </c>
      <c r="F30" s="21">
        <v>32.25</v>
      </c>
      <c r="G30" s="6">
        <v>10</v>
      </c>
      <c r="H30" s="22">
        <f>C11</f>
        <v>13</v>
      </c>
      <c r="I30" s="6">
        <v>9</v>
      </c>
      <c r="J30" s="21">
        <f t="shared" si="0"/>
        <v>283.54927007299273</v>
      </c>
      <c r="K30" s="6">
        <f t="shared" si="1"/>
        <v>274</v>
      </c>
      <c r="L30" s="22">
        <f t="shared" si="2"/>
        <v>21.581250000000001</v>
      </c>
      <c r="M30" s="22">
        <f>IFERROR(L30/B8,0)</f>
        <v>1.0790625</v>
      </c>
      <c r="N30" s="6">
        <v>1</v>
      </c>
      <c r="O30" s="8">
        <f t="shared" si="3"/>
        <v>1.0790625</v>
      </c>
      <c r="P30" s="6">
        <f t="shared" si="4"/>
        <v>2</v>
      </c>
      <c r="Q30" s="9">
        <f t="shared" si="5"/>
        <v>0.53953125000000002</v>
      </c>
    </row>
    <row r="31" spans="1:17">
      <c r="A31" s="10" t="s">
        <v>43</v>
      </c>
      <c r="B31" s="21">
        <v>540</v>
      </c>
      <c r="C31" s="6">
        <v>8</v>
      </c>
      <c r="D31" s="22">
        <f>B11</f>
        <v>18</v>
      </c>
      <c r="E31" s="6">
        <v>1</v>
      </c>
      <c r="F31" s="21">
        <v>180</v>
      </c>
      <c r="G31" s="6">
        <v>10</v>
      </c>
      <c r="H31" s="22">
        <f>C11</f>
        <v>13</v>
      </c>
      <c r="I31" s="6">
        <v>1</v>
      </c>
      <c r="J31" s="21">
        <f t="shared" si="0"/>
        <v>369.19708029197079</v>
      </c>
      <c r="K31" s="6">
        <f t="shared" si="1"/>
        <v>274</v>
      </c>
      <c r="L31" s="22">
        <f t="shared" si="2"/>
        <v>28.1</v>
      </c>
      <c r="M31" s="22">
        <f>IFERROR(L31/B8,0)</f>
        <v>1.405</v>
      </c>
      <c r="N31" s="6">
        <v>2</v>
      </c>
      <c r="O31" s="8">
        <f t="shared" si="3"/>
        <v>0.70250000000000001</v>
      </c>
      <c r="P31" s="6">
        <f t="shared" si="4"/>
        <v>2</v>
      </c>
      <c r="Q31" s="9">
        <f t="shared" si="5"/>
        <v>0.70250000000000001</v>
      </c>
    </row>
    <row r="32" spans="1:17">
      <c r="A32" s="10" t="s">
        <v>44</v>
      </c>
      <c r="B32" s="21">
        <v>2100</v>
      </c>
      <c r="C32" s="6">
        <v>8</v>
      </c>
      <c r="D32" s="22">
        <f>B11</f>
        <v>18</v>
      </c>
      <c r="E32" s="6">
        <v>1</v>
      </c>
      <c r="F32" s="21">
        <v>1500</v>
      </c>
      <c r="G32" s="6">
        <v>10</v>
      </c>
      <c r="H32" s="22">
        <f>C11</f>
        <v>13</v>
      </c>
      <c r="I32" s="6">
        <v>1</v>
      </c>
      <c r="J32" s="21">
        <f t="shared" si="0"/>
        <v>1815.3284671532847</v>
      </c>
      <c r="K32" s="6">
        <f t="shared" si="1"/>
        <v>274</v>
      </c>
      <c r="L32" s="22">
        <f t="shared" si="2"/>
        <v>138.16666666666666</v>
      </c>
      <c r="M32" s="22">
        <f>IFERROR(L32/B8,0)</f>
        <v>6.9083333333333332</v>
      </c>
      <c r="N32" s="6">
        <v>9</v>
      </c>
      <c r="O32" s="8">
        <f t="shared" si="3"/>
        <v>0.7675925925925926</v>
      </c>
      <c r="P32" s="6">
        <f t="shared" si="4"/>
        <v>9</v>
      </c>
      <c r="Q32" s="9">
        <f t="shared" si="5"/>
        <v>0.7675925925925926</v>
      </c>
    </row>
    <row r="33" spans="1:17">
      <c r="A33" s="10" t="s">
        <v>45</v>
      </c>
      <c r="B33" s="21">
        <v>360</v>
      </c>
      <c r="C33" s="6">
        <v>8</v>
      </c>
      <c r="D33" s="22">
        <f>B11</f>
        <v>18</v>
      </c>
      <c r="E33" s="6">
        <v>1</v>
      </c>
      <c r="F33" s="21"/>
      <c r="G33" s="6"/>
      <c r="H33" s="22">
        <f>C11</f>
        <v>13</v>
      </c>
      <c r="I33" s="6"/>
      <c r="J33" s="21">
        <f t="shared" si="0"/>
        <v>360</v>
      </c>
      <c r="K33" s="6">
        <f t="shared" si="1"/>
        <v>144</v>
      </c>
      <c r="L33" s="22">
        <f t="shared" si="2"/>
        <v>14.4</v>
      </c>
      <c r="M33" s="22">
        <f>IFERROR(L33/B8,0)</f>
        <v>0.72</v>
      </c>
      <c r="N33" s="6">
        <v>1</v>
      </c>
      <c r="O33" s="8">
        <f t="shared" si="3"/>
        <v>0.72</v>
      </c>
      <c r="P33" s="6">
        <f t="shared" si="4"/>
        <v>1</v>
      </c>
      <c r="Q33" s="9">
        <f t="shared" si="5"/>
        <v>0.72</v>
      </c>
    </row>
    <row r="34" spans="1:17">
      <c r="A34" s="10" t="s">
        <v>46</v>
      </c>
      <c r="B34" s="21">
        <v>1209</v>
      </c>
      <c r="C34" s="6">
        <v>8</v>
      </c>
      <c r="D34" s="22">
        <f>B11</f>
        <v>18</v>
      </c>
      <c r="E34" s="6">
        <v>1</v>
      </c>
      <c r="F34" s="21"/>
      <c r="G34" s="6"/>
      <c r="H34" s="22">
        <f>C11</f>
        <v>13</v>
      </c>
      <c r="I34" s="6"/>
      <c r="J34" s="21">
        <f t="shared" si="0"/>
        <v>1209</v>
      </c>
      <c r="K34" s="6">
        <f t="shared" si="1"/>
        <v>144</v>
      </c>
      <c r="L34" s="22">
        <f t="shared" si="2"/>
        <v>48.36</v>
      </c>
      <c r="M34" s="22">
        <f>IFERROR(L34/B8,0)</f>
        <v>2.4180000000000001</v>
      </c>
      <c r="N34" s="6">
        <v>3</v>
      </c>
      <c r="O34" s="8">
        <f t="shared" si="3"/>
        <v>0.80600000000000005</v>
      </c>
      <c r="P34" s="6">
        <f t="shared" si="4"/>
        <v>3</v>
      </c>
      <c r="Q34" s="9">
        <f t="shared" si="5"/>
        <v>0.80600000000000005</v>
      </c>
    </row>
    <row r="35" spans="1:17">
      <c r="A35" s="10" t="s">
        <v>47</v>
      </c>
      <c r="B35" s="21">
        <v>8556</v>
      </c>
      <c r="C35" s="6">
        <v>8</v>
      </c>
      <c r="D35" s="22">
        <f>B11</f>
        <v>18</v>
      </c>
      <c r="E35" s="6">
        <v>1</v>
      </c>
      <c r="F35" s="21"/>
      <c r="G35" s="6"/>
      <c r="H35" s="22">
        <f>C11</f>
        <v>13</v>
      </c>
      <c r="I35" s="6"/>
      <c r="J35" s="21">
        <f t="shared" si="0"/>
        <v>8556</v>
      </c>
      <c r="K35" s="6">
        <f t="shared" si="1"/>
        <v>144</v>
      </c>
      <c r="L35" s="22">
        <f t="shared" si="2"/>
        <v>342.24</v>
      </c>
      <c r="M35" s="22">
        <f>IFERROR(L35/B8,0)</f>
        <v>17.112000000000002</v>
      </c>
      <c r="N35" s="6">
        <v>14</v>
      </c>
      <c r="O35" s="8">
        <f t="shared" si="3"/>
        <v>1.2222857142857144</v>
      </c>
      <c r="P35" s="6">
        <f t="shared" si="4"/>
        <v>18</v>
      </c>
      <c r="Q35" s="9">
        <f t="shared" si="5"/>
        <v>0.95066666666666677</v>
      </c>
    </row>
    <row r="36" spans="1:17">
      <c r="A36" s="10" t="s">
        <v>48</v>
      </c>
      <c r="B36" s="21"/>
      <c r="C36" s="6"/>
      <c r="D36" s="22">
        <f>B11</f>
        <v>18</v>
      </c>
      <c r="E36" s="6"/>
      <c r="F36" s="21">
        <v>195</v>
      </c>
      <c r="G36" s="6">
        <v>10</v>
      </c>
      <c r="H36" s="22">
        <f>C11</f>
        <v>13</v>
      </c>
      <c r="I36" s="6">
        <v>1</v>
      </c>
      <c r="J36" s="21">
        <f t="shared" si="0"/>
        <v>195</v>
      </c>
      <c r="K36" s="6">
        <f t="shared" si="1"/>
        <v>130</v>
      </c>
      <c r="L36" s="22">
        <f t="shared" si="2"/>
        <v>7.041666666666667</v>
      </c>
      <c r="M36" s="22">
        <f>IFERROR(L36/B8,0)</f>
        <v>0.35208333333333336</v>
      </c>
      <c r="N36" s="6">
        <v>1</v>
      </c>
      <c r="O36" s="8">
        <f t="shared" si="3"/>
        <v>0.35208333333333336</v>
      </c>
      <c r="P36" s="6">
        <f t="shared" si="4"/>
        <v>1</v>
      </c>
      <c r="Q36" s="9">
        <f t="shared" si="5"/>
        <v>0.35208333333333336</v>
      </c>
    </row>
    <row r="37" spans="1:17">
      <c r="A37" s="10" t="s">
        <v>49</v>
      </c>
      <c r="B37" s="21"/>
      <c r="C37" s="6"/>
      <c r="D37" s="22">
        <f>B11</f>
        <v>18</v>
      </c>
      <c r="E37" s="6"/>
      <c r="F37" s="21">
        <v>120</v>
      </c>
      <c r="G37" s="6">
        <v>10</v>
      </c>
      <c r="H37" s="22">
        <f>C11</f>
        <v>13</v>
      </c>
      <c r="I37" s="6">
        <v>1</v>
      </c>
      <c r="J37" s="21">
        <f t="shared" si="0"/>
        <v>120</v>
      </c>
      <c r="K37" s="6">
        <f t="shared" si="1"/>
        <v>130</v>
      </c>
      <c r="L37" s="22">
        <f t="shared" si="2"/>
        <v>4.333333333333333</v>
      </c>
      <c r="M37" s="22">
        <f>IFERROR(L37/B8,0)</f>
        <v>0.21666666666666665</v>
      </c>
      <c r="N37" s="6">
        <v>1</v>
      </c>
      <c r="O37" s="8">
        <f t="shared" si="3"/>
        <v>0.21666666666666665</v>
      </c>
      <c r="P37" s="6">
        <f t="shared" si="4"/>
        <v>1</v>
      </c>
      <c r="Q37" s="9">
        <f t="shared" si="5"/>
        <v>0.21666666666666665</v>
      </c>
    </row>
    <row r="38" spans="1:17">
      <c r="A38" s="10" t="s">
        <v>50</v>
      </c>
      <c r="B38" s="21"/>
      <c r="C38" s="6"/>
      <c r="D38" s="22">
        <f>B11</f>
        <v>18</v>
      </c>
      <c r="E38" s="6"/>
      <c r="F38" s="21">
        <v>457.5</v>
      </c>
      <c r="G38" s="6">
        <v>10</v>
      </c>
      <c r="H38" s="22">
        <f>C11</f>
        <v>13</v>
      </c>
      <c r="I38" s="6">
        <v>1</v>
      </c>
      <c r="J38" s="21">
        <f t="shared" si="0"/>
        <v>457.5</v>
      </c>
      <c r="K38" s="6">
        <f t="shared" si="1"/>
        <v>130</v>
      </c>
      <c r="L38" s="22">
        <f t="shared" si="2"/>
        <v>16.520833333333332</v>
      </c>
      <c r="M38" s="22">
        <f>IFERROR(L38/B8,0)</f>
        <v>0.82604166666666656</v>
      </c>
      <c r="N38" s="6">
        <v>2</v>
      </c>
      <c r="O38" s="8">
        <f t="shared" si="3"/>
        <v>0.41302083333333328</v>
      </c>
      <c r="P38" s="6">
        <f t="shared" si="4"/>
        <v>2</v>
      </c>
      <c r="Q38" s="9">
        <f t="shared" si="5"/>
        <v>0.41302083333333328</v>
      </c>
    </row>
    <row r="39" spans="1:17">
      <c r="A39" s="10" t="s">
        <v>51</v>
      </c>
      <c r="B39" s="21"/>
      <c r="C39" s="6"/>
      <c r="D39" s="22">
        <f>B11</f>
        <v>18</v>
      </c>
      <c r="E39" s="6"/>
      <c r="F39" s="21">
        <v>312.75</v>
      </c>
      <c r="G39" s="6">
        <v>10</v>
      </c>
      <c r="H39" s="22">
        <f>C11</f>
        <v>13</v>
      </c>
      <c r="I39" s="6">
        <v>1</v>
      </c>
      <c r="J39" s="21">
        <f t="shared" si="0"/>
        <v>312.75</v>
      </c>
      <c r="K39" s="6">
        <f t="shared" si="1"/>
        <v>130</v>
      </c>
      <c r="L39" s="22">
        <f t="shared" si="2"/>
        <v>11.293749999999999</v>
      </c>
      <c r="M39" s="22">
        <f>IFERROR(L39/B8,0)</f>
        <v>0.56468750000000001</v>
      </c>
      <c r="N39" s="6">
        <v>1</v>
      </c>
      <c r="O39" s="8">
        <f t="shared" si="3"/>
        <v>0.56468750000000001</v>
      </c>
      <c r="P39" s="6">
        <f t="shared" si="4"/>
        <v>1</v>
      </c>
      <c r="Q39" s="9">
        <f t="shared" si="5"/>
        <v>0.56468750000000001</v>
      </c>
    </row>
    <row r="40" spans="1:17">
      <c r="A40" s="10" t="s">
        <v>52</v>
      </c>
      <c r="B40" s="21"/>
      <c r="C40" s="6"/>
      <c r="D40" s="22">
        <f>B11</f>
        <v>18</v>
      </c>
      <c r="E40" s="6"/>
      <c r="F40" s="21">
        <v>4185</v>
      </c>
      <c r="G40" s="6">
        <v>10</v>
      </c>
      <c r="H40" s="22">
        <f>C11</f>
        <v>13</v>
      </c>
      <c r="I40" s="6">
        <v>1</v>
      </c>
      <c r="J40" s="21">
        <f t="shared" si="0"/>
        <v>4185</v>
      </c>
      <c r="K40" s="6">
        <f t="shared" si="1"/>
        <v>130</v>
      </c>
      <c r="L40" s="22">
        <f t="shared" si="2"/>
        <v>151.125</v>
      </c>
      <c r="M40" s="22">
        <f>IFERROR(L40/B8,0)</f>
        <v>7.5562500000000004</v>
      </c>
      <c r="N40" s="6">
        <v>7</v>
      </c>
      <c r="O40" s="8">
        <f t="shared" si="3"/>
        <v>1.0794642857142858</v>
      </c>
      <c r="P40" s="6">
        <f t="shared" si="4"/>
        <v>8</v>
      </c>
      <c r="Q40" s="9">
        <f t="shared" si="5"/>
        <v>0.94453125000000004</v>
      </c>
    </row>
  </sheetData>
  <mergeCells count="5">
    <mergeCell ref="A1:Q1"/>
    <mergeCell ref="B13:E13"/>
    <mergeCell ref="F13:I13"/>
    <mergeCell ref="J13:M13"/>
    <mergeCell ref="N13:Q13"/>
  </mergeCells>
  <phoneticPr fontId="3" type="noConversion"/>
  <conditionalFormatting sqref="O15:O40">
    <cfRule type="cellIs" dxfId="1" priority="1" stopIfTrue="1" operator="greaterThan">
      <formula>1</formula>
    </cfRule>
  </conditionalFormatting>
  <conditionalFormatting sqref="Q15:Q40">
    <cfRule type="cellIs" dxfId="0" priority="2" stopIfTrue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2026-04-22T00:11:05Z</dcterms:modified>
</cp:coreProperties>
</file>